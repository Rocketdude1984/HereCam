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<sst xmlns="http://schemas.openxmlformats.org/spreadsheetml/2006/main" count="36" uniqueCount="32">
  <si>
    <t>hrs/day</t>
  </si>
  <si>
    <t>FPS</t>
  </si>
  <si>
    <t>pics/hr</t>
  </si>
  <si>
    <t>Length (s)</t>
  </si>
  <si>
    <t>pics/day</t>
  </si>
  <si>
    <t>Length (min:s)</t>
  </si>
  <si>
    <t>pics/year</t>
  </si>
  <si>
    <t>Resolution</t>
  </si>
  <si>
    <t>pics/min</t>
  </si>
  <si>
    <t>Quality</t>
  </si>
  <si>
    <t>1920*1080</t>
  </si>
  <si>
    <t>1920*1440</t>
  </si>
  <si>
    <t>3840*2160</t>
  </si>
  <si>
    <t>mins/pic</t>
  </si>
  <si>
    <t>1920*1080 @ 80%</t>
  </si>
  <si>
    <t>1920*1440 @ 80%</t>
  </si>
  <si>
    <t>3840*2160 @ 80%</t>
  </si>
  <si>
    <t>1920*1080 @ 90%</t>
  </si>
  <si>
    <t>1920*1440 @ 90%</t>
  </si>
  <si>
    <t>3840*2160 @ 90%</t>
  </si>
  <si>
    <t>3840*2160 @ 92%</t>
  </si>
  <si>
    <t>1920*1080 @ 100%</t>
  </si>
  <si>
    <t>1920*1440 @ 100%</t>
  </si>
  <si>
    <t>3840*2160 @ 100%</t>
  </si>
  <si>
    <t>Length of Movie (M:SS)</t>
  </si>
  <si>
    <t xml:space="preserve">Resolution </t>
  </si>
  <si>
    <t>2560*1440</t>
  </si>
  <si>
    <t>Compression Ratio</t>
  </si>
  <si>
    <t>Quality (%)</t>
  </si>
  <si>
    <t>Data Size (GB/year)</t>
  </si>
  <si>
    <t>Average</t>
  </si>
  <si>
    <t>Total Average 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</si>
</sst>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Border="1" applyFont="1"/>
    <xf borderId="1" fillId="0" fontId="1" numFmtId="46" xfId="0" applyBorder="1" applyFont="1" applyNumberFormat="1"/>
    <xf borderId="1" fillId="0" fontId="2" numFmtId="0" xfId="0" applyBorder="1" applyFont="1"/>
    <xf borderId="2" fillId="0" fontId="1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0" fontId="1" numFmtId="0" xfId="0" applyAlignment="1" applyBorder="1" applyFont="1">
      <alignment horizontal="center" readingOrder="0" vertical="center"/>
    </xf>
    <xf borderId="6" fillId="0" fontId="3" numFmtId="0" xfId="0" applyBorder="1" applyFont="1"/>
    <xf borderId="1" fillId="2" fontId="1" numFmtId="46" xfId="0" applyBorder="1" applyFill="1" applyFont="1" applyNumberFormat="1"/>
    <xf borderId="1" fillId="3" fontId="1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/>
    </xf>
    <xf borderId="1" fillId="4" fontId="1" numFmtId="0" xfId="0" applyBorder="1" applyFont="1"/>
    <xf borderId="7" fillId="0" fontId="3" numFmtId="0" xfId="0" applyBorder="1" applyFont="1"/>
    <xf borderId="1" fillId="2" fontId="1" numFmtId="0" xfId="0" applyBorder="1" applyFont="1"/>
    <xf borderId="5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Border="1" applyFont="1" applyNumberFormat="1"/>
    <xf borderId="1" fillId="3" fontId="1" numFmtId="164" xfId="0" applyBorder="1" applyFont="1" applyNumberFormat="1"/>
    <xf borderId="0" fillId="0" fontId="1" numFmtId="0" xfId="0" applyAlignment="1" applyFont="1">
      <alignment readingOrder="0"/>
    </xf>
    <xf borderId="1" fillId="3" fontId="2" numFmtId="165" xfId="0" applyBorder="1" applyFont="1" applyNumberFormat="1"/>
    <xf borderId="1" fillId="0" fontId="2" numFmtId="165" xfId="0" applyBorder="1" applyFont="1" applyNumberFormat="1"/>
    <xf borderId="1" fillId="2" fontId="2" numFmtId="165" xfId="0" applyBorder="1" applyFont="1" applyNumberFormat="1"/>
    <xf borderId="1" fillId="4" fontId="2" numFmtId="165" xfId="0" applyBorder="1" applyFont="1" applyNumberFormat="1"/>
    <xf borderId="0" fillId="3" fontId="1" numFmtId="0" xfId="0" applyFont="1"/>
    <xf borderId="0" fillId="0" fontId="1" numFmtId="0" xfId="0" applyFont="1"/>
    <xf borderId="0" fillId="2" fontId="1" numFmtId="0" xfId="0" applyFont="1"/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0.75"/>
    <col customWidth="1" min="12" max="12" width="14.88"/>
    <col customWidth="1" min="13" max="15" width="15.0"/>
    <col customWidth="1" min="16" max="16" width="16.0"/>
    <col customWidth="1" min="17" max="18" width="15.0"/>
    <col customWidth="1" min="19" max="20" width="16.0"/>
    <col customWidth="1" min="22" max="22" width="16.0"/>
  </cols>
  <sheetData>
    <row r="2">
      <c r="B2" s="1">
        <v>20.0</v>
      </c>
      <c r="C2" s="1" t="s">
        <v>0</v>
      </c>
      <c r="E2" s="1" t="s">
        <v>1</v>
      </c>
      <c r="F2" s="1">
        <v>16.0</v>
      </c>
      <c r="G2" s="1">
        <v>24.0</v>
      </c>
      <c r="H2" s="1">
        <v>30.0</v>
      </c>
      <c r="I2" s="1">
        <v>60.0</v>
      </c>
    </row>
    <row r="3">
      <c r="B3" s="2">
        <v>12.0</v>
      </c>
      <c r="C3" s="2" t="s">
        <v>2</v>
      </c>
      <c r="E3" s="1" t="s">
        <v>3</v>
      </c>
      <c r="F3" s="3">
        <f t="shared" ref="F3:I3" si="1">$B$5/F2</f>
        <v>5475</v>
      </c>
      <c r="G3" s="3">
        <f t="shared" si="1"/>
        <v>3650</v>
      </c>
      <c r="H3" s="3">
        <f t="shared" si="1"/>
        <v>2920</v>
      </c>
      <c r="I3" s="3">
        <f t="shared" si="1"/>
        <v>1460</v>
      </c>
    </row>
    <row r="4">
      <c r="B4" s="3">
        <f>B2*B3</f>
        <v>240</v>
      </c>
      <c r="C4" s="1" t="s">
        <v>4</v>
      </c>
      <c r="E4" s="1" t="s">
        <v>5</v>
      </c>
      <c r="F4" s="4">
        <f t="shared" ref="F4:I4" si="2">F3/86400</f>
        <v>0.06336805556</v>
      </c>
      <c r="G4" s="4">
        <f t="shared" si="2"/>
        <v>0.04224537037</v>
      </c>
      <c r="H4" s="4">
        <f t="shared" si="2"/>
        <v>0.0337962963</v>
      </c>
      <c r="I4" s="4">
        <f t="shared" si="2"/>
        <v>0.01689814815</v>
      </c>
    </row>
    <row r="5">
      <c r="B5" s="5">
        <f>B4*365</f>
        <v>87600</v>
      </c>
      <c r="C5" s="1" t="s">
        <v>6</v>
      </c>
      <c r="M5" s="3"/>
      <c r="N5" s="6" t="s">
        <v>7</v>
      </c>
      <c r="O5" s="7"/>
      <c r="P5" s="8"/>
    </row>
    <row r="6">
      <c r="B6" s="1">
        <f>B3/60</f>
        <v>0.2</v>
      </c>
      <c r="C6" s="1" t="s">
        <v>8</v>
      </c>
      <c r="D6" s="3"/>
      <c r="E6" s="3"/>
      <c r="F6" s="6" t="s">
        <v>1</v>
      </c>
      <c r="G6" s="7"/>
      <c r="H6" s="7"/>
      <c r="I6" s="7"/>
      <c r="J6" s="7"/>
      <c r="K6" s="8"/>
      <c r="M6" s="1" t="s">
        <v>9</v>
      </c>
      <c r="N6" s="1" t="s">
        <v>10</v>
      </c>
      <c r="O6" s="1" t="s">
        <v>11</v>
      </c>
      <c r="P6" s="1" t="s">
        <v>12</v>
      </c>
    </row>
    <row r="7">
      <c r="B7" s="5">
        <f>1/B6</f>
        <v>5</v>
      </c>
      <c r="C7" s="2" t="s">
        <v>13</v>
      </c>
      <c r="D7" s="3"/>
      <c r="E7" s="3"/>
      <c r="F7" s="1">
        <v>24.0</v>
      </c>
      <c r="G7" s="1">
        <v>30.0</v>
      </c>
      <c r="H7" s="1">
        <v>48.0</v>
      </c>
      <c r="I7" s="1">
        <v>60.0</v>
      </c>
      <c r="J7" s="1">
        <v>100.0</v>
      </c>
      <c r="K7" s="1">
        <v>120.0</v>
      </c>
      <c r="M7" s="1">
        <v>100.0</v>
      </c>
      <c r="N7" s="3"/>
      <c r="O7" s="3"/>
      <c r="P7" s="3"/>
    </row>
    <row r="8">
      <c r="D8" s="9" t="s">
        <v>2</v>
      </c>
      <c r="E8" s="1">
        <v>6.0</v>
      </c>
      <c r="F8" s="4">
        <f t="shared" ref="F8:K8" si="3">$E8*20*365/F$7/86400</f>
        <v>0.02112268519</v>
      </c>
      <c r="G8" s="4">
        <f t="shared" si="3"/>
        <v>0.01689814815</v>
      </c>
      <c r="H8" s="4">
        <f t="shared" si="3"/>
        <v>0.01056134259</v>
      </c>
      <c r="I8" s="4">
        <f t="shared" si="3"/>
        <v>0.008449074074</v>
      </c>
      <c r="J8" s="4">
        <f t="shared" si="3"/>
        <v>0.005069444444</v>
      </c>
      <c r="K8" s="4">
        <f t="shared" si="3"/>
        <v>0.004224537037</v>
      </c>
      <c r="M8" s="1">
        <v>90.0</v>
      </c>
      <c r="N8" s="1">
        <v>273.0</v>
      </c>
      <c r="O8" s="3"/>
      <c r="P8" s="3"/>
    </row>
    <row r="9">
      <c r="D9" s="10"/>
      <c r="E9" s="1">
        <v>8.0</v>
      </c>
      <c r="F9" s="4">
        <f t="shared" ref="F9:K9" si="4">$E9*20*365/F$7/86400</f>
        <v>0.02816358025</v>
      </c>
      <c r="G9" s="4">
        <f t="shared" si="4"/>
        <v>0.0225308642</v>
      </c>
      <c r="H9" s="4">
        <f t="shared" si="4"/>
        <v>0.01408179012</v>
      </c>
      <c r="I9" s="4">
        <f t="shared" si="4"/>
        <v>0.0112654321</v>
      </c>
      <c r="J9" s="4">
        <f t="shared" si="4"/>
        <v>0.006759259259</v>
      </c>
      <c r="K9" s="4">
        <f t="shared" si="4"/>
        <v>0.005632716049</v>
      </c>
      <c r="M9" s="1">
        <v>80.0</v>
      </c>
      <c r="N9" s="3"/>
      <c r="O9" s="3"/>
      <c r="P9" s="3"/>
    </row>
    <row r="10">
      <c r="D10" s="10"/>
      <c r="E10" s="1">
        <v>10.0</v>
      </c>
      <c r="F10" s="4">
        <f t="shared" ref="F10:K10" si="5">$E10*20*365/F$7/86400</f>
        <v>0.03520447531</v>
      </c>
      <c r="G10" s="4">
        <f t="shared" si="5"/>
        <v>0.02816358025</v>
      </c>
      <c r="H10" s="4">
        <f t="shared" si="5"/>
        <v>0.01760223765</v>
      </c>
      <c r="I10" s="4">
        <f t="shared" si="5"/>
        <v>0.01408179012</v>
      </c>
      <c r="J10" s="4">
        <f t="shared" si="5"/>
        <v>0.008449074074</v>
      </c>
      <c r="K10" s="4">
        <f t="shared" si="5"/>
        <v>0.007040895062</v>
      </c>
    </row>
    <row r="11">
      <c r="D11" s="10"/>
      <c r="E11" s="1">
        <v>12.0</v>
      </c>
      <c r="F11" s="11">
        <f t="shared" ref="F11:K11" si="6">$E11*20*365/F$7/86400</f>
        <v>0.04224537037</v>
      </c>
      <c r="G11" s="4">
        <f t="shared" si="6"/>
        <v>0.0337962963</v>
      </c>
      <c r="H11" s="4">
        <f t="shared" si="6"/>
        <v>0.02112268519</v>
      </c>
      <c r="I11" s="4">
        <f t="shared" si="6"/>
        <v>0.01689814815</v>
      </c>
      <c r="J11" s="11">
        <f t="shared" si="6"/>
        <v>0.01013888889</v>
      </c>
      <c r="K11" s="4">
        <f t="shared" si="6"/>
        <v>0.008449074074</v>
      </c>
    </row>
    <row r="12">
      <c r="D12" s="10"/>
      <c r="E12" s="1">
        <v>16.0</v>
      </c>
      <c r="F12" s="4">
        <f t="shared" ref="F12:K12" si="7">$E12*20*365/F$7/86400</f>
        <v>0.05632716049</v>
      </c>
      <c r="G12" s="4">
        <f t="shared" si="7"/>
        <v>0.0450617284</v>
      </c>
      <c r="H12" s="4">
        <f t="shared" si="7"/>
        <v>0.02816358025</v>
      </c>
      <c r="I12" s="4">
        <f t="shared" si="7"/>
        <v>0.0225308642</v>
      </c>
      <c r="J12" s="4">
        <f t="shared" si="7"/>
        <v>0.01351851852</v>
      </c>
      <c r="K12" s="4">
        <f t="shared" si="7"/>
        <v>0.0112654321</v>
      </c>
    </row>
    <row r="13">
      <c r="D13" s="10"/>
      <c r="E13" s="1">
        <v>20.0</v>
      </c>
      <c r="F13" s="4">
        <f t="shared" ref="F13:K13" si="8">$E13*20*365/F$7/86400</f>
        <v>0.07040895062</v>
      </c>
      <c r="G13" s="4">
        <f t="shared" si="8"/>
        <v>0.05632716049</v>
      </c>
      <c r="H13" s="4">
        <f t="shared" si="8"/>
        <v>0.03520447531</v>
      </c>
      <c r="I13" s="4">
        <f t="shared" si="8"/>
        <v>0.02816358025</v>
      </c>
      <c r="J13" s="4">
        <f t="shared" si="8"/>
        <v>0.01689814815</v>
      </c>
      <c r="K13" s="4">
        <f t="shared" si="8"/>
        <v>0.01408179012</v>
      </c>
      <c r="M13" s="12" t="s">
        <v>14</v>
      </c>
      <c r="N13" s="1" t="s">
        <v>15</v>
      </c>
      <c r="O13" s="1" t="s">
        <v>16</v>
      </c>
      <c r="P13" s="12" t="s">
        <v>17</v>
      </c>
      <c r="Q13" s="1" t="s">
        <v>18</v>
      </c>
      <c r="R13" s="13" t="s">
        <v>19</v>
      </c>
      <c r="S13" s="1" t="s">
        <v>20</v>
      </c>
      <c r="T13" s="14" t="s">
        <v>21</v>
      </c>
      <c r="U13" s="14" t="s">
        <v>22</v>
      </c>
      <c r="V13" s="14" t="s">
        <v>23</v>
      </c>
    </row>
    <row r="14">
      <c r="D14" s="10"/>
      <c r="E14" s="1">
        <v>24.0</v>
      </c>
      <c r="F14" s="4">
        <f t="shared" ref="F14:K14" si="9">$E14*20*365/F$7/86400</f>
        <v>0.08449074074</v>
      </c>
      <c r="G14" s="4">
        <f t="shared" si="9"/>
        <v>0.06759259259</v>
      </c>
      <c r="H14" s="4">
        <f t="shared" si="9"/>
        <v>0.04224537037</v>
      </c>
      <c r="I14" s="4">
        <f t="shared" si="9"/>
        <v>0.0337962963</v>
      </c>
      <c r="J14" s="4">
        <f t="shared" si="9"/>
        <v>0.02027777778</v>
      </c>
      <c r="K14" s="4">
        <f t="shared" si="9"/>
        <v>0.01689814815</v>
      </c>
      <c r="M14" s="12">
        <v>146.7</v>
      </c>
      <c r="N14" s="1">
        <v>232.6</v>
      </c>
      <c r="O14" s="1">
        <v>665.0</v>
      </c>
      <c r="P14" s="12">
        <v>205.4</v>
      </c>
      <c r="Q14" s="1">
        <v>342.9</v>
      </c>
      <c r="R14" s="15">
        <v>934.0</v>
      </c>
      <c r="S14" s="1">
        <v>911.9</v>
      </c>
      <c r="T14" s="16">
        <f>1.2*1024</f>
        <v>1228.8</v>
      </c>
      <c r="U14" s="16">
        <f>1.6*1024</f>
        <v>1638.4</v>
      </c>
      <c r="V14" s="14">
        <f>4.2*1024</f>
        <v>4300.8</v>
      </c>
    </row>
    <row r="15">
      <c r="D15" s="10"/>
      <c r="E15" s="1">
        <v>30.0</v>
      </c>
      <c r="F15" s="4">
        <f t="shared" ref="F15:K15" si="10">$E15*20*365/F$7/86400</f>
        <v>0.1056134259</v>
      </c>
      <c r="G15" s="4">
        <f t="shared" si="10"/>
        <v>0.08449074074</v>
      </c>
      <c r="H15" s="4">
        <f t="shared" si="10"/>
        <v>0.05280671296</v>
      </c>
      <c r="I15" s="4">
        <f t="shared" si="10"/>
        <v>0.04224537037</v>
      </c>
      <c r="J15" s="4">
        <f t="shared" si="10"/>
        <v>0.02534722222</v>
      </c>
      <c r="K15" s="4">
        <f t="shared" si="10"/>
        <v>0.02112268519</v>
      </c>
      <c r="M15" s="12">
        <v>212.7</v>
      </c>
      <c r="N15" s="1"/>
      <c r="O15" s="1"/>
      <c r="P15" s="12">
        <v>193.4</v>
      </c>
      <c r="Q15" s="1">
        <v>405.9</v>
      </c>
      <c r="R15" s="15">
        <v>957.8</v>
      </c>
      <c r="S15" s="1">
        <v>997.4</v>
      </c>
      <c r="T15" s="16">
        <f>1.1*1024</f>
        <v>1126.4</v>
      </c>
      <c r="U15" s="16">
        <f>1.4*1024</f>
        <v>1433.6</v>
      </c>
      <c r="V15" s="16">
        <f>4.1*1024</f>
        <v>4198.4</v>
      </c>
    </row>
    <row r="16">
      <c r="D16" s="17"/>
      <c r="E16" s="1">
        <v>48.0</v>
      </c>
      <c r="F16" s="4">
        <f t="shared" ref="F16:K16" si="11">$E16*20*365/F$7/86400</f>
        <v>0.1689814815</v>
      </c>
      <c r="G16" s="4">
        <f t="shared" si="11"/>
        <v>0.1351851852</v>
      </c>
      <c r="H16" s="4">
        <f t="shared" si="11"/>
        <v>0.08449074074</v>
      </c>
      <c r="I16" s="4">
        <f t="shared" si="11"/>
        <v>0.06759259259</v>
      </c>
      <c r="J16" s="4">
        <f t="shared" si="11"/>
        <v>0.04055555556</v>
      </c>
      <c r="K16" s="4">
        <f t="shared" si="11"/>
        <v>0.0337962963</v>
      </c>
      <c r="M16" s="12"/>
      <c r="N16" s="3"/>
      <c r="O16" s="3"/>
      <c r="P16" s="12">
        <v>230.9</v>
      </c>
      <c r="Q16" s="3"/>
      <c r="R16" s="18"/>
      <c r="S16" s="1">
        <v>1024.0</v>
      </c>
      <c r="T16" s="16"/>
      <c r="U16" s="16"/>
      <c r="V16" s="16"/>
    </row>
    <row r="17">
      <c r="D17" s="3"/>
      <c r="E17" s="3"/>
      <c r="F17" s="6" t="s">
        <v>24</v>
      </c>
      <c r="G17" s="7"/>
      <c r="H17" s="7"/>
      <c r="I17" s="7"/>
      <c r="J17" s="7"/>
      <c r="K17" s="8"/>
      <c r="M17" s="12"/>
      <c r="N17" s="3"/>
      <c r="O17" s="3"/>
      <c r="P17" s="12">
        <v>304.8</v>
      </c>
      <c r="Q17" s="3"/>
      <c r="R17" s="18"/>
      <c r="S17" s="1">
        <v>970.6</v>
      </c>
      <c r="T17" s="16"/>
      <c r="U17" s="16"/>
      <c r="V17" s="16"/>
    </row>
    <row r="18">
      <c r="M18" s="12"/>
      <c r="N18" s="3"/>
      <c r="O18" s="3"/>
      <c r="P18" s="12">
        <v>287.0</v>
      </c>
      <c r="Q18" s="3"/>
      <c r="R18" s="18"/>
      <c r="S18" s="3">
        <f t="shared" ref="S18:S19" si="12">1.2*1024</f>
        <v>1228.8</v>
      </c>
      <c r="T18" s="16"/>
      <c r="U18" s="16"/>
      <c r="V18" s="16"/>
    </row>
    <row r="19">
      <c r="M19" s="12"/>
      <c r="N19" s="3"/>
      <c r="O19" s="3"/>
      <c r="P19" s="12">
        <v>327.8</v>
      </c>
      <c r="Q19" s="3"/>
      <c r="R19" s="18"/>
      <c r="S19" s="3">
        <f t="shared" si="12"/>
        <v>1228.8</v>
      </c>
      <c r="T19" s="16"/>
      <c r="U19" s="16"/>
      <c r="V19" s="16"/>
    </row>
    <row r="20">
      <c r="D20" s="3"/>
      <c r="E20" s="3"/>
      <c r="F20" s="6" t="s">
        <v>25</v>
      </c>
      <c r="G20" s="7"/>
      <c r="H20" s="8"/>
      <c r="I20" s="3"/>
      <c r="J20" s="3"/>
      <c r="M20" s="12"/>
      <c r="N20" s="3"/>
      <c r="O20" s="3"/>
      <c r="P20" s="12">
        <v>353.4</v>
      </c>
      <c r="Q20" s="3"/>
      <c r="R20" s="18"/>
      <c r="S20" s="3">
        <f>1.3*1024</f>
        <v>1331.2</v>
      </c>
      <c r="T20" s="16"/>
      <c r="U20" s="16"/>
      <c r="V20" s="16"/>
    </row>
    <row r="21">
      <c r="D21" s="3"/>
      <c r="E21" s="3"/>
      <c r="F21" s="1" t="s">
        <v>10</v>
      </c>
      <c r="G21" s="1" t="s">
        <v>26</v>
      </c>
      <c r="H21" s="1" t="s">
        <v>12</v>
      </c>
      <c r="I21" s="3"/>
      <c r="J21" s="3"/>
      <c r="M21" s="12"/>
      <c r="N21" s="3"/>
      <c r="O21" s="3"/>
      <c r="P21" s="12">
        <v>261.2</v>
      </c>
      <c r="Q21" s="3"/>
      <c r="R21" s="18"/>
      <c r="S21" s="3">
        <f t="shared" ref="S21:S23" si="13">1.2*1024</f>
        <v>1228.8</v>
      </c>
      <c r="T21" s="16"/>
      <c r="U21" s="16"/>
      <c r="V21" s="16"/>
    </row>
    <row r="22">
      <c r="D22" s="19" t="s">
        <v>27</v>
      </c>
      <c r="E22" s="1">
        <v>1.0</v>
      </c>
      <c r="F22" s="20">
        <f t="shared" ref="F22:F27" si="14">1920*1080*3/E22/1024/1024/1024*$B$5</f>
        <v>507.516861</v>
      </c>
      <c r="G22" s="20">
        <f t="shared" ref="G22:G27" si="15">2560*1440*3/E22/1024/1024/1024*$B$5</f>
        <v>902.2521973</v>
      </c>
      <c r="H22" s="20">
        <f t="shared" ref="H22:H27" si="16">3840*2160*3/E22/1024/1024/1024*$B$5</f>
        <v>2030.067444</v>
      </c>
      <c r="I22" s="1">
        <v>100.0</v>
      </c>
      <c r="J22" s="9" t="s">
        <v>28</v>
      </c>
      <c r="M22" s="12"/>
      <c r="N22" s="3"/>
      <c r="O22" s="3"/>
      <c r="P22" s="12">
        <v>275.4</v>
      </c>
      <c r="Q22" s="3"/>
      <c r="R22" s="18"/>
      <c r="S22" s="3">
        <f t="shared" si="13"/>
        <v>1228.8</v>
      </c>
      <c r="T22" s="16"/>
      <c r="U22" s="16"/>
      <c r="V22" s="16"/>
    </row>
    <row r="23">
      <c r="D23" s="10"/>
      <c r="E23" s="1">
        <v>8.0</v>
      </c>
      <c r="F23" s="20">
        <f t="shared" si="14"/>
        <v>63.43960762</v>
      </c>
      <c r="G23" s="20">
        <f t="shared" si="15"/>
        <v>112.7815247</v>
      </c>
      <c r="H23" s="20">
        <f t="shared" si="16"/>
        <v>253.7584305</v>
      </c>
      <c r="I23" s="1">
        <v>95.0</v>
      </c>
      <c r="J23" s="10"/>
      <c r="M23" s="12"/>
      <c r="N23" s="3"/>
      <c r="O23" s="3"/>
      <c r="P23" s="12">
        <v>305.8</v>
      </c>
      <c r="Q23" s="3"/>
      <c r="R23" s="18"/>
      <c r="S23" s="3">
        <f t="shared" si="13"/>
        <v>1228.8</v>
      </c>
      <c r="T23" s="16"/>
      <c r="U23" s="16"/>
      <c r="V23" s="16"/>
    </row>
    <row r="24">
      <c r="D24" s="10"/>
      <c r="E24" s="1">
        <v>12.0</v>
      </c>
      <c r="F24" s="21">
        <f t="shared" si="14"/>
        <v>42.29307175</v>
      </c>
      <c r="G24" s="21">
        <f t="shared" si="15"/>
        <v>75.18768311</v>
      </c>
      <c r="H24" s="21">
        <f t="shared" si="16"/>
        <v>169.172287</v>
      </c>
      <c r="I24" s="1">
        <v>90.0</v>
      </c>
      <c r="J24" s="10"/>
      <c r="M24" s="12"/>
      <c r="N24" s="3"/>
      <c r="O24" s="3"/>
      <c r="P24" s="12">
        <v>267.5</v>
      </c>
      <c r="Q24" s="3"/>
      <c r="R24" s="18"/>
      <c r="S24" s="3">
        <f>1.4*1024</f>
        <v>1433.6</v>
      </c>
      <c r="T24" s="16"/>
      <c r="U24" s="16"/>
      <c r="V24" s="16"/>
    </row>
    <row r="25">
      <c r="D25" s="10"/>
      <c r="E25" s="1">
        <v>18.0</v>
      </c>
      <c r="F25" s="20">
        <f t="shared" si="14"/>
        <v>28.19538116</v>
      </c>
      <c r="G25" s="20">
        <f t="shared" si="15"/>
        <v>50.12512207</v>
      </c>
      <c r="H25" s="20">
        <f t="shared" si="16"/>
        <v>112.7815247</v>
      </c>
      <c r="I25" s="1">
        <v>85.0</v>
      </c>
      <c r="J25" s="10"/>
      <c r="M25" s="12"/>
      <c r="N25" s="3"/>
      <c r="O25" s="3"/>
      <c r="P25" s="12">
        <v>313.0</v>
      </c>
      <c r="Q25" s="3"/>
      <c r="R25" s="18"/>
      <c r="S25" s="3">
        <f>1.3*1024</f>
        <v>1331.2</v>
      </c>
      <c r="T25" s="16"/>
      <c r="U25" s="16"/>
      <c r="V25" s="16"/>
    </row>
    <row r="26">
      <c r="D26" s="10"/>
      <c r="E26" s="1">
        <v>25.0</v>
      </c>
      <c r="F26" s="20">
        <f t="shared" si="14"/>
        <v>20.30067444</v>
      </c>
      <c r="G26" s="20">
        <f t="shared" si="15"/>
        <v>36.09008789</v>
      </c>
      <c r="H26" s="20">
        <f t="shared" si="16"/>
        <v>81.20269775</v>
      </c>
      <c r="I26" s="1">
        <v>80.0</v>
      </c>
      <c r="J26" s="10"/>
      <c r="M26" s="12"/>
      <c r="N26" s="3"/>
      <c r="O26" s="3"/>
      <c r="P26" s="12">
        <v>282.7</v>
      </c>
      <c r="Q26" s="3"/>
      <c r="R26" s="18"/>
      <c r="S26" s="3">
        <f t="shared" ref="S26:S27" si="17">1.2*1024</f>
        <v>1228.8</v>
      </c>
      <c r="T26" s="16"/>
      <c r="U26" s="16"/>
      <c r="V26" s="16"/>
    </row>
    <row r="27">
      <c r="D27" s="17"/>
      <c r="E27" s="1">
        <v>35.0</v>
      </c>
      <c r="F27" s="20">
        <f t="shared" si="14"/>
        <v>14.50048174</v>
      </c>
      <c r="G27" s="20">
        <f t="shared" si="15"/>
        <v>25.77863421</v>
      </c>
      <c r="H27" s="20">
        <f t="shared" si="16"/>
        <v>58.00192697</v>
      </c>
      <c r="I27" s="1">
        <v>75.0</v>
      </c>
      <c r="J27" s="17"/>
      <c r="M27" s="12"/>
      <c r="N27" s="3"/>
      <c r="O27" s="3"/>
      <c r="P27" s="12">
        <v>268.9</v>
      </c>
      <c r="Q27" s="3"/>
      <c r="R27" s="18"/>
      <c r="S27" s="3">
        <f t="shared" si="17"/>
        <v>1228.8</v>
      </c>
      <c r="T27" s="16"/>
      <c r="U27" s="16"/>
      <c r="V27" s="16"/>
    </row>
    <row r="28">
      <c r="D28" s="3"/>
      <c r="E28" s="3"/>
      <c r="F28" s="6" t="s">
        <v>29</v>
      </c>
      <c r="G28" s="7"/>
      <c r="H28" s="8"/>
      <c r="I28" s="3"/>
      <c r="J28" s="3"/>
      <c r="M28" s="12"/>
      <c r="N28" s="3"/>
      <c r="O28" s="3"/>
      <c r="P28" s="12">
        <v>266.1</v>
      </c>
      <c r="Q28" s="3"/>
      <c r="R28" s="18"/>
      <c r="S28" s="3"/>
      <c r="T28" s="16"/>
      <c r="U28" s="16"/>
      <c r="V28" s="16"/>
    </row>
    <row r="29">
      <c r="M29" s="12"/>
      <c r="N29" s="3"/>
      <c r="O29" s="3"/>
      <c r="P29" s="12">
        <v>243.8</v>
      </c>
      <c r="Q29" s="3"/>
      <c r="R29" s="18"/>
      <c r="S29" s="3"/>
      <c r="T29" s="16"/>
      <c r="U29" s="16"/>
      <c r="V29" s="16"/>
    </row>
    <row r="30">
      <c r="M30" s="12"/>
      <c r="N30" s="3"/>
      <c r="O30" s="3"/>
      <c r="P30" s="12">
        <v>248.6</v>
      </c>
      <c r="Q30" s="3"/>
      <c r="R30" s="18"/>
      <c r="S30" s="3"/>
      <c r="T30" s="16"/>
      <c r="U30" s="16"/>
      <c r="V30" s="16"/>
    </row>
    <row r="31">
      <c r="L31" s="22" t="s">
        <v>30</v>
      </c>
      <c r="M31" s="23">
        <f t="shared" ref="M31:R31" si="18">AVERAGE(M14:M30)</f>
        <v>179.7</v>
      </c>
      <c r="N31" s="24">
        <f t="shared" si="18"/>
        <v>232.6</v>
      </c>
      <c r="O31" s="24">
        <f t="shared" si="18"/>
        <v>665</v>
      </c>
      <c r="P31" s="23">
        <f t="shared" si="18"/>
        <v>272.6882353</v>
      </c>
      <c r="Q31" s="24">
        <f t="shared" si="18"/>
        <v>374.4</v>
      </c>
      <c r="R31" s="25">
        <f t="shared" si="18"/>
        <v>945.9</v>
      </c>
      <c r="S31" s="3">
        <f>AVERAGE(S14:S27)</f>
        <v>1185.821429</v>
      </c>
      <c r="T31" s="26">
        <f t="shared" ref="T31:V31" si="19">AVERAGE(T14:T30)</f>
        <v>1177.6</v>
      </c>
      <c r="U31" s="26">
        <f t="shared" si="19"/>
        <v>1536</v>
      </c>
      <c r="V31" s="26">
        <f t="shared" si="19"/>
        <v>4249.6</v>
      </c>
    </row>
    <row r="32">
      <c r="L32" s="22" t="s">
        <v>31</v>
      </c>
      <c r="M32" s="27">
        <f t="shared" ref="M32:V32" si="20">M31*$B$5/1024/1024</f>
        <v>15.01247406</v>
      </c>
      <c r="N32" s="28">
        <f t="shared" si="20"/>
        <v>19.43183899</v>
      </c>
      <c r="O32" s="28">
        <f t="shared" si="20"/>
        <v>55.55534363</v>
      </c>
      <c r="P32" s="27">
        <f t="shared" si="20"/>
        <v>22.78088514</v>
      </c>
      <c r="Q32" s="28">
        <f t="shared" si="20"/>
        <v>31.27807617</v>
      </c>
      <c r="R32" s="29">
        <f t="shared" si="20"/>
        <v>79.02225494</v>
      </c>
      <c r="S32" s="28">
        <f t="shared" si="20"/>
        <v>99.06573977</v>
      </c>
      <c r="T32" s="30">
        <f t="shared" si="20"/>
        <v>98.37890625</v>
      </c>
      <c r="U32" s="30">
        <f t="shared" si="20"/>
        <v>128.3203125</v>
      </c>
      <c r="V32" s="30">
        <f t="shared" si="20"/>
        <v>355.0195313</v>
      </c>
    </row>
    <row r="34">
      <c r="S34" s="28">
        <f>1.5*B5/1024</f>
        <v>128.3203125</v>
      </c>
    </row>
  </sheetData>
  <mergeCells count="8">
    <mergeCell ref="N5:P5"/>
    <mergeCell ref="F6:K6"/>
    <mergeCell ref="D8:D16"/>
    <mergeCell ref="F17:K17"/>
    <mergeCell ref="F20:H20"/>
    <mergeCell ref="D22:D27"/>
    <mergeCell ref="J22:J27"/>
    <mergeCell ref="F28:H28"/>
  </mergeCells>
  <drawing r:id="rId1"/>
</worksheet>
</file>